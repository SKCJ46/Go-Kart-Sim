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สรุปเสนอผู้บริหาร" sheetId="1" r:id="rId1"/>
    <sheet name="รายละเอียดงบ" sheetId="2" r:id="rId2"/>
    <sheet name="สมมติฐานและไม่รวม" sheetId="3" r:id="rId3"/>
  </sheets>
  <definedNames>
    <definedName name="_xlnm._FilterDatabase" localSheetId="1" hidden="1">'รายละเอียดงบ'!$A$7:$F$11</definedName>
    <definedName name="_xlnm._FilterDatabase" localSheetId="2" hidden="1">'สมมติฐานและไม่รวม'!$A$5:$C$22</definedName>
    <definedName name="_xlnm.Print_Area" localSheetId="1">'รายละเอียดงบ'!$A$1:$F$24</definedName>
    <definedName name="_xlnm.Print_Area" localSheetId="2">'สมมติฐานและไม่รวม'!$A$1:$C$22</definedName>
    <definedName name="_xlnm.Print_Area" localSheetId="0">'สรุปเสนอผู้บริหาร'!$A$1:$F$26</definedName>
    <definedName name="_xlnm.Print_Titles" localSheetId="1">'รายละเอียดงบ'!$7:$7</definedName>
    <definedName name="_xlnm.Print_Titles" localSheetId="2">'สมมติฐานและไม่รวม'!$5:$5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8" authorId="0">
      <text>
        <r>
          <rPr>
            <sz val="8"/>
            <color indexed="81"/>
            <rFont val="Tahoma"/>
            <family val="2"/>
          </rPr>
          <t>แก้เป็นประมาณการที่ปรับแล้วได้ เมื่อมีใบเสนอราคาให้ตรวจรายการรวม/ไม่รวม VAT และขนส่งก่อนใช้ ห้ามรวมอุปกรณ์ Sim หรือจอเข้าหมวดนี้</t>
        </r>
      </text>
    </comment>
    <comment ref="E8" authorId="0">
      <text>
        <r>
          <rPr>
            <sz val="8"/>
            <color indexed="81"/>
            <rFont val="Tahoma"/>
            <family val="2"/>
          </rPr>
          <t>แก้เป็นประมาณการที่ปรับแล้วได้ เมื่อมีใบเสนอราคาให้ตรวจรายการรวม/ไม่รวม VAT และขนส่งก่อนใช้ ห้ามรวมอุปกรณ์ Sim หรือจอเข้าหมวดนี้</t>
        </r>
      </text>
    </comment>
    <comment ref="D9" authorId="0">
      <text>
        <r>
          <rPr>
            <sz val="8"/>
            <color indexed="81"/>
            <rFont val="Tahoma"/>
            <family val="2"/>
          </rPr>
          <t>แก้เป็นประมาณการที่ปรับแล้วได้ เมื่อมีใบเสนอราคาให้ตรวจรายการรวม/ไม่รวม VAT และขนส่งก่อนใช้ ห้ามรวมอุปกรณ์ Sim หรือจอเข้าหมวดนี้</t>
        </r>
      </text>
    </comment>
    <comment ref="E9" authorId="0">
      <text>
        <r>
          <rPr>
            <sz val="8"/>
            <color indexed="81"/>
            <rFont val="Tahoma"/>
            <family val="2"/>
          </rPr>
          <t>แก้เป็นประมาณการที่ปรับแล้วได้ เมื่อมีใบเสนอราคาให้ตรวจรายการรวม/ไม่รวม VAT และขนส่งก่อนใช้ ห้ามรวมอุปกรณ์ Sim หรือจอเข้าหมวดนี้</t>
        </r>
      </text>
    </comment>
    <comment ref="D10" authorId="0">
      <text>
        <r>
          <rPr>
            <sz val="8"/>
            <color indexed="81"/>
            <rFont val="Tahoma"/>
            <family val="2"/>
          </rPr>
          <t>แก้เป็นประมาณการที่ปรับแล้วได้ เมื่อมีใบเสนอราคาให้ตรวจรายการรวม/ไม่รวม VAT และขนส่งก่อนใช้ ห้ามรวมอุปกรณ์ Sim หรือจอเข้าหมวดนี้</t>
        </r>
      </text>
    </comment>
    <comment ref="E10" authorId="0">
      <text>
        <r>
          <rPr>
            <sz val="8"/>
            <color indexed="81"/>
            <rFont val="Tahoma"/>
            <family val="2"/>
          </rPr>
          <t>แก้เป็นประมาณการที่ปรับแล้วได้ เมื่อมีใบเสนอราคาให้ตรวจรายการรวม/ไม่รวม VAT และขนส่งก่อนใช้ ห้ามรวมอุปกรณ์ Sim หรือจอเข้าหมวดนี้</t>
        </r>
      </text>
    </comment>
    <comment ref="D11" authorId="0">
      <text>
        <r>
          <rPr>
            <sz val="8"/>
            <color indexed="81"/>
            <rFont val="Tahoma"/>
            <family val="2"/>
          </rPr>
          <t>แก้เป็นประมาณการที่ปรับแล้วได้ เมื่อมีใบเสนอราคาให้ตรวจรายการรวม/ไม่รวม VAT และขนส่งก่อนใช้ ห้ามรวมอุปกรณ์ Sim หรือจอเข้าหมวดนี้</t>
        </r>
      </text>
    </comment>
    <comment ref="E11" authorId="0">
      <text>
        <r>
          <rPr>
            <sz val="8"/>
            <color indexed="81"/>
            <rFont val="Tahoma"/>
            <family val="2"/>
          </rPr>
          <t>แก้เป็นประมาณการที่ปรับแล้วได้ เมื่อมีใบเสนอราคาให้ตรวจรายการรวม/ไม่รวม VAT และขนส่งก่อนใช้ ห้ามรวมอุปกรณ์ Sim หรือจอเข้าหมวดนี้</t>
        </r>
      </text>
    </comment>
  </commentList>
</comments>
</file>

<file path=xl/sharedStrings.xml><?xml version="1.0" encoding="utf-8"?>
<sst xmlns="http://schemas.openxmlformats.org/spreadsheetml/2006/main" count="108" uniqueCount="97">
  <si>
    <t>รายละเอียดงบโครงสร้าง</t>
  </si>
  <si>
    <t>ตัวเลขสีน้ำเงินแก้ไขได้ | ฐานประมาณการ 23 ต.ค. 2026 | ทุกหมวดต่อหนึ่งเครื่อง ไม่ใช่ราคาต่อชิ้น</t>
  </si>
  <si>
    <t>เผื่อ</t>
  </si>
  <si>
    <t>อัตราเงินเผื่อคิดจากยอดโครงสร้างก่อนเผื่อเพียงครั้งเดียว ไม่ครอบคลุมรายการที่แยกออก</t>
  </si>
  <si>
    <t>รหัส</t>
  </si>
  <si>
    <t>หมวด</t>
  </si>
  <si>
    <t>รายละเอียดที่รวม</t>
  </si>
  <si>
    <t>ต่ำ / บาท</t>
  </si>
  <si>
    <t>สูง / บาท</t>
  </si>
  <si>
    <t>สถานะ</t>
  </si>
  <si>
    <t>S01</t>
  </si>
  <si>
    <t>โครงท่อหลัก</t>
  </si>
  <si>
    <t>ท่อเหล็ก คานรอง จุดเสริมรับ Motion วัสดุ ตัด ดัด เชื่อม และทำสี</t>
  </si>
  <si>
    <t>ประมาณการโครงการ
ยังไม่มีใบเสนอราคา</t>
  </si>
  <si>
    <t>S02</t>
  </si>
  <si>
    <t>พื้นและตัวรถ</t>
  </si>
  <si>
    <t>พื้น ตัวถัง กันชน ล้อ 4 ล้อ ยาง และดุม ไม่มีเครื่องยนต์หรือระบบขับรถจริง</t>
  </si>
  <si>
    <t>S03</t>
  </si>
  <si>
    <t>ชุดเบาะ</t>
  </si>
  <si>
    <t>เบาะโกคาร์ท รางเลื่อน และชุดรอง/ขายึด ต้องยืนยันขนาดและจุดยึด</t>
  </si>
  <si>
    <t>S04</t>
  </si>
  <si>
    <t>ชุดขาจอ</t>
  </si>
  <si>
    <t>โครงรองรับสามจอ ขายึด และชุดถอดประกอบ ไม่รวมตัวจอ</t>
  </si>
  <si>
    <t>รวมก่อนเงินเผื่อ</t>
  </si>
  <si>
    <t>เงินเผื่อ</t>
  </si>
  <si>
    <t>รวมเงินเผื่อแล้ว</t>
  </si>
  <si>
    <t>ราคาย่อย เช่น ค่าเหล็ก ค่าเชื่อม ค่าล้อ หรือค่าแรง ยังไม่ได้แยกจากผู้ผลิต จึงไม่สร้างราคาย่อยสมมติขึ้นมาแทนใบเสนอราคา</t>
  </si>
  <si>
    <t>งานผลิตแต่ละชุดอยู่ในหมวดนั้นแล้ว ส่วนออกแบบ จิ๊ก ทดลอง ทดสอบ ประกอบรวมระบบขั้นสุดท้าย และชุดขนย้ายแยกงบ ตรวจขอบเขตอะแดปเตอร์เฉพาะรุ่นและ interface GM5 ก่อนยืนยันราคา</t>
  </si>
  <si>
    <t>ที่มา: docs/structure-budget-th.md (23 ต.ค. 2026) ซึ่งคัดสี่หมวดจาก docs/show-ready-plan-th.md (21 ต.ค. 2026) ไม่มีการขอราคาใหม่ในรอบจัดทำ Excel</t>
  </si>
  <si>
    <t>งบโครงสร้าง Go-kart Simulator</t>
  </si>
  <si>
    <t>เสนอพิจารณา | จัดทำ 24 ต.ค. 2026 | ฐานประมาณการ 23 ต.ค. 2026 | บาทต่อหนึ่งเครื่อง</t>
  </si>
  <si>
    <t>รวมโครง + พื้น/ตัวถัง/กันชน + เบาะ + ล้อ/ยาง/ดุม + ขาจอ</t>
  </si>
  <si>
    <t>ไม่รวมอุปกรณ์ Sim/Motion, PC และตัวจอ | ขอบเขตยืนยันแล้ว ราคายังเป็นประมาณการ</t>
  </si>
  <si>
    <t>รายการ</t>
  </si>
  <si>
    <t>ประมาณการต่ำ / บาท</t>
  </si>
  <si>
    <t>ประมาณการสูง / บาท</t>
  </si>
  <si>
    <t>ช่วงปัดสำหรับคุยทีม</t>
  </si>
  <si>
    <t>ค่ากลางปัดเพื่อเริ่มคุย — ไม่ใช่เพดานอนุมัติ</t>
  </si>
  <si>
    <t>แยกงบเพิ่มเติม: อุปกรณ์ Sim/Motion, PC, จอ, ระบบไฟ/ซอฟต์แวร์, ออกแบบ/จิ๊ก/ทดลอง/ทดสอบ, ประกอบรวมระบบขั้นสุดท้าย, ชุดขนย้าย และค่าโชว์; VAT/ขนส่งต้องตรวจจากใบเสนอราคาจริง</t>
  </si>
  <si>
    <t>สถานะ: ยังไม่มีใบเสนอราคาและยังไม่อนุมัติงบ/จัดซื้อ งบนี้เป็นเพียงส่วนโครงสร้าง ไม่ใช่งบเครื่องพร้อมโชว์ทั้งระบบ และห้ามบวกซ้ำกับหมวดเดียวกันในงบรวมเดิม</t>
  </si>
  <si>
    <t>ปรับตัวเลขสีน้ำเงินในชีต “รายละเอียดงบ” ยอดสรุปคำนวณอัตโนมัติ</t>
  </si>
  <si>
    <t>ไปปรับรายละเอียด →</t>
  </si>
  <si>
    <t>สมมติฐาน / ขอบเขต / รายการรอราคา</t>
  </si>
  <si>
    <t>ไม่มีรายการรอราคาใดถูกนับเป็นศูนย์ในงบโครงสร้าง ต้องแยกประเมินก่อนรวมงบทั้งเครื่อง</t>
  </si>
  <si>
    <t>หัวข้อ</t>
  </si>
  <si>
    <t>รายละเอียด</t>
  </si>
  <si>
    <t>ฐานผลิต</t>
  </si>
  <si>
    <t>ประเมินต้นแบบหนึ่งเครื่อง ตัวรถตั้งต้น 1,800 × 1,300 มม. ไม่รวมพื้นที่จอยื่นและการเคลื่อน Motion</t>
  </si>
  <si>
    <t>สมมติฐาน ยังไม่ใช่แบบผลิต</t>
  </si>
  <si>
    <t>วิธีผลิต</t>
  </si>
  <si>
    <t>โครงเหล็กเชื่อม โมดูลถอดด้วยน็อต งานสีสำหรับโชว์ วัสดุและจุดยึดต้องตรวจโหลด/แบบจริง</t>
  </si>
  <si>
    <t>ข้อเสนอวิธีผลิต</t>
  </si>
  <si>
    <t>เบาะและล้อ</t>
  </si>
  <si>
    <t>รวมเบาะ ราง ขายึด ล้อ ยาง และดุม รุ่น/ขนาด/คุณภาพยังต้องเลือก</t>
  </si>
  <si>
    <t>ยืนยันขอบเขต ยังไม่เลือกรุ่น</t>
  </si>
  <si>
    <t>ขาจอ</t>
  </si>
  <si>
    <t>รวมโครงรองรับสามจอและชุดถอด ต้องตรวจน้ำหนักและแรงจาก Motion</t>
  </si>
  <si>
    <t>ยืนยันขอบเขต รอตรวจแบบ</t>
  </si>
  <si>
    <t>รายการที่ราคาผันแปร</t>
  </si>
  <si>
    <t>รูปทรงตัวถัง งานผิว ขาจอ จุดรับ Motion และจำนวนรอบแก้แบบ</t>
  </si>
  <si>
    <t>ต้องดูแบบก่อนตีราคาจริง</t>
  </si>
  <si>
    <t>อุปกรณ์ Sim / Motion</t>
  </si>
  <si>
    <t>ฐาน FFB พวงมาลัย แป้น เบรก Active ชุด Motion/controller และอุปกรณ์เสริม</t>
  </si>
  <si>
    <t>ไม่รวม / รอเลือกรุ่นและราคา</t>
  </si>
  <si>
    <t>PC และจอภาพ</t>
  </si>
  <si>
    <t>PC จอ และอุปกรณ์คอมพิวเตอร์ ไม่รวมตัวจอแม้ขาจออยู่ในงบ</t>
  </si>
  <si>
    <t>ไม่รวม / แยกงบ</t>
  </si>
  <si>
    <t>ระบบไฟ / ซอฟต์แวร์</t>
  </si>
  <si>
    <t>สาย อุปกรณ์เชื่อมต่อ ระบบหยุด เกม ซอฟต์แวร์ควบคุม และไลเซนส์</t>
  </si>
  <si>
    <t>ไม่รวม / รอผัง รุ่น และสิทธิ์</t>
  </si>
  <si>
    <t>พัฒนา / จิ๊ก / ทดสอบ</t>
  </si>
  <si>
    <t>ออกแบบ จิ๊ก mock-up ชิ้นส่วนทดลอง การทดสอบและตรวจรับ</t>
  </si>
  <si>
    <t>ไม่รวม / ประเมินขอบเขตก่อน</t>
  </si>
  <si>
    <t>ประกอบรวมระบบ</t>
  </si>
  <si>
    <t>ติดตั้ง/รวมระบบและตั้งค่าขั้นสุดท้าย แยกจากค่าผลิตแต่ละชุดที่อยู่ในงบแล้ว</t>
  </si>
  <si>
    <t>ไม่รวม / ป้องกันคิดแรงงานซ้ำ</t>
  </si>
  <si>
    <t>ขนย้ายและงานโชว์</t>
  </si>
  <si>
    <t>ชุดขนย้าย แพ็กกิ้ง ค่ารถ บูธ เดินทาง และเจ้าหน้าที่</t>
  </si>
  <si>
    <t>ไม่รวม / รอรูปแบบและสถานที่</t>
  </si>
  <si>
    <t>VAT / ขนส่ง</t>
  </si>
  <si>
    <t>ตรวจว่าราคาแต่ละบรรทัดรวมภาษี/ส่งแล้วหรือไม่ บวกเฉพาะส่วนที่ยังขาด ไม่บวก VAT ซ้ำ</t>
  </si>
  <si>
    <t>ยังไม่ยืนยัน / ไม่ถือว่ารวมแล้ว</t>
  </si>
  <si>
    <t>อะแดปเตอร์เฉพาะรุ่น</t>
  </si>
  <si>
    <t>จุดยึดฐาน FFB แป้นและ interface GM5 ต้องกำหนดแบบก่อนระบุว่ารวมอยู่ในหมวดใด</t>
  </si>
  <si>
    <t>รอยืนยันขอบเขตและราคา</t>
  </si>
  <si>
    <t>ราคาย่อย</t>
  </si>
  <si>
    <t>ยังไม่มีราคาวัสดุ ค่าเชื่อม ค่าแรงและชิ้นส่วนแยกย่อย จึงคงไว้เป็นสี่หมวด ไม่แจกแจงตัวเลขขึ้นใหม่</t>
  </si>
  <si>
    <t>รอใบเสนอราคาผู้ผลิต</t>
  </si>
  <si>
    <t>ก่อนสั่งผลิต</t>
  </si>
  <si>
    <t>ทำ CAD/BOM เลือกเบาะ/ล้อ/ขาจอ ตรวจโหลดและให้ผู้มีอำนาจอนุมัติแบบ/งบก่อนสั่ง</t>
  </si>
  <si>
    <t>งานถัดไป ยังไม่ได้สั่ง</t>
  </si>
  <si>
    <t>ขอราคาจริง</t>
  </si>
  <si>
    <t>ขอแยกวัสดุ แรงงาน สี จิ๊ก VAT ขนส่ง และเงื่อนไขแก้แบบ พร้อมคิวผลิต</t>
  </si>
  <si>
    <t>งานถัดไป ยังไม่ได้ติดต่อผู้ขาย</t>
  </si>
  <si>
    <t>แหล่งข้อมูล</t>
  </si>
  <si>
    <t>docs/structure-budget-th.md (23 ต.ค. 2026) และกรอบงบใน docs/show-ready-plan-th.md (21 ต.ค. 2026)</t>
  </si>
  <si>
    <t>ข้อมูลประมาณการโครงการ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</si>
</sst>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%"/>
  </numFmts>
  <fonts count="13">
    <font>
      <sz val="11"/>
      <color theme="1"/>
      <name val="Calibri"/>
      <family val="2"/>
      <scheme val="minor"/>
    </font>
    <font>
      <b/>
      <sz val="23"/>
      <color rgb="FFFFFFFF"/>
      <name val="Noto Sans Thai"/>
      <family val="2"/>
    </font>
    <font>
      <sz val="10"/>
      <color rgb="FF667078"/>
      <name val="Noto Sans Thai"/>
      <family val="2"/>
    </font>
    <font>
      <b/>
      <sz val="11"/>
      <color rgb="FFC82935"/>
      <name val="Noto Sans Thai"/>
      <family val="2"/>
    </font>
    <font>
      <b/>
      <sz val="11"/>
      <color rgb="FFFFFFFF"/>
      <name val="Noto Sans Thai"/>
      <family val="2"/>
    </font>
    <font>
      <sz val="11"/>
      <color rgb="FF24262D"/>
      <name val="Noto Sans Thai"/>
      <family val="2"/>
    </font>
    <font>
      <b/>
      <sz val="11"/>
      <color rgb="FF24262D"/>
      <name val="Noto Sans Thai"/>
      <family val="2"/>
    </font>
    <font>
      <b/>
      <sz val="13"/>
      <color rgb="FFFFFFFF"/>
      <name val="Noto Sans Thai"/>
      <family val="2"/>
    </font>
    <font>
      <b/>
      <sz val="17"/>
      <color rgb="FFFFFFFF"/>
      <name val="Noto Sans Thai"/>
      <family val="2"/>
    </font>
    <font>
      <b/>
      <sz val="18"/>
      <color rgb="FFC82935"/>
      <name val="Noto Sans Thai"/>
      <family val="2"/>
    </font>
    <font>
      <u/>
      <sz val="10"/>
      <color rgb="FF165DB5"/>
      <name val="Noto Sans Thai"/>
      <family val="2"/>
    </font>
    <font>
      <sz val="11"/>
      <color rgb="FF165DB5"/>
      <name val="Noto Sans Thai"/>
      <family val="2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24262D"/>
        <bgColor indexed="64"/>
      </patternFill>
    </fill>
    <fill>
      <patternFill patternType="solid">
        <fgColor rgb="FFFBEDEE"/>
        <bgColor indexed="64"/>
      </patternFill>
    </fill>
    <fill>
      <patternFill patternType="solid">
        <fgColor rgb="FFEFEDE9"/>
        <bgColor indexed="64"/>
      </patternFill>
    </fill>
    <fill>
      <patternFill patternType="solid">
        <fgColor rgb="FFC82935"/>
        <bgColor indexed="64"/>
      </patternFill>
    </fill>
    <fill>
      <patternFill patternType="solid">
        <fgColor rgb="FFF4F5F7"/>
        <bgColor indexed="64"/>
      </patternFill>
    </fill>
    <fill>
      <patternFill patternType="solid">
        <fgColor rgb="FFEDF4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4E8"/>
      </bottom>
      <diagonal/>
    </border>
    <border>
      <left style="thin">
        <color rgb="FFC6D8F3"/>
      </left>
      <right style="thin">
        <color rgb="FFC6D8F3"/>
      </right>
      <top style="thin">
        <color rgb="FFC6D8F3"/>
      </top>
      <bottom style="thin">
        <color rgb="FFC6D8F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right" vertical="center"/>
    </xf>
    <xf numFmtId="0" fontId="6" fillId="4" borderId="0" xfId="0" applyFont="1" applyFill="1" applyAlignment="1">
      <alignment vertical="center"/>
    </xf>
    <xf numFmtId="164" fontId="6" fillId="4" borderId="0" xfId="0" applyNumberFormat="1" applyFont="1" applyFill="1" applyAlignment="1">
      <alignment horizontal="right" vertical="center"/>
    </xf>
    <xf numFmtId="0" fontId="7" fillId="5" borderId="0" xfId="0" applyFont="1" applyFill="1" applyAlignment="1">
      <alignment vertical="center"/>
    </xf>
    <xf numFmtId="164" fontId="8" fillId="5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vertical="center"/>
    </xf>
    <xf numFmtId="164" fontId="9" fillId="3" borderId="0" xfId="0" applyNumberFormat="1" applyFont="1" applyFill="1" applyAlignment="1">
      <alignment horizontal="right" vertical="center"/>
    </xf>
    <xf numFmtId="0" fontId="2" fillId="6" borderId="0" xfId="0" applyFont="1" applyFill="1" applyAlignment="1">
      <alignment vertical="center" wrapText="1"/>
    </xf>
    <xf numFmtId="0" fontId="10" fillId="0" borderId="0" xfId="0" applyFont="1" applyAlignment="1">
      <alignment vertical="center"/>
    </xf>
    <xf numFmtId="165" fontId="11" fillId="7" borderId="2" xfId="0" applyNumberFormat="1" applyFont="1" applyFill="1" applyBorder="1" applyAlignment="1">
      <alignment horizontal="center" vertical="center"/>
    </xf>
    <xf numFmtId="164" fontId="11" fillId="7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1">
    <dxf>
      <font>
        <color rgb="FFA11B28"/>
      </font>
      <fill>
        <patternFill>
          <bgColor rgb="FFFFD6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82935"/>
    <pageSetUpPr fitToPage="1"/>
  </sheetPr>
  <dimension ref="A1:F26"/>
  <sheetViews>
    <sheetView showGridLines="0" tabSelected="1" zoomScale="90" zoomScaleNormal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26" customHeight="1"/>
  <cols>
    <col min="1" max="2" width="23.7109375" customWidth="1"/>
    <col min="3" max="6" width="17.7109375" customWidth="1"/>
  </cols>
  <sheetData>
    <row r="1" spans="1:6" ht="26" customHeight="1">
      <c r="A1" s="1" t="s">
        <v>29</v>
      </c>
      <c r="B1" s="1"/>
      <c r="C1" s="1"/>
      <c r="D1" s="1"/>
      <c r="E1" s="1"/>
      <c r="F1" s="1"/>
    </row>
    <row r="2" spans="1:6" ht="26" customHeight="1">
      <c r="A2" s="1"/>
      <c r="B2" s="1"/>
      <c r="C2" s="1"/>
      <c r="D2" s="1"/>
      <c r="E2" s="1"/>
      <c r="F2" s="1"/>
    </row>
    <row r="3" spans="1:6" ht="26" customHeight="1">
      <c r="A3" s="2" t="s">
        <v>30</v>
      </c>
      <c r="B3" s="2"/>
      <c r="C3" s="2"/>
      <c r="D3" s="2"/>
      <c r="E3" s="2"/>
      <c r="F3" s="2"/>
    </row>
    <row r="5" spans="1:6" ht="26" customHeight="1">
      <c r="A5" s="3" t="s">
        <v>31</v>
      </c>
      <c r="B5" s="3"/>
      <c r="C5" s="3"/>
      <c r="D5" s="3"/>
      <c r="E5" s="3"/>
      <c r="F5" s="3"/>
    </row>
    <row r="6" spans="1:6" ht="26" customHeight="1">
      <c r="A6" s="2" t="s">
        <v>32</v>
      </c>
      <c r="B6" s="2"/>
      <c r="C6" s="2"/>
      <c r="D6" s="2"/>
      <c r="E6" s="2"/>
      <c r="F6" s="2"/>
    </row>
    <row r="8" spans="1:6" ht="26" customHeight="1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ht="33" customHeight="1">
      <c r="A9" s="5" t="s">
        <v>11</v>
      </c>
      <c r="B9" s="5"/>
      <c r="C9" s="6">
        <f>'รายละเอียดงบ'!D8</f>
        <v>30000</v>
      </c>
      <c r="D9" s="6"/>
      <c r="E9" s="6">
        <f>'รายละเอียดงบ'!E8</f>
        <v>45000</v>
      </c>
      <c r="F9" s="6"/>
    </row>
    <row r="10" spans="1:6" ht="33" customHeight="1">
      <c r="A10" s="5" t="s">
        <v>15</v>
      </c>
      <c r="B10" s="5"/>
      <c r="C10" s="6">
        <f>'รายละเอียดงบ'!D9</f>
        <v>18000</v>
      </c>
      <c r="D10" s="6"/>
      <c r="E10" s="6">
        <f>'รายละเอียดงบ'!E9</f>
        <v>30000</v>
      </c>
      <c r="F10" s="6"/>
    </row>
    <row r="11" spans="1:6" ht="33" customHeight="1">
      <c r="A11" s="5" t="s">
        <v>18</v>
      </c>
      <c r="B11" s="5"/>
      <c r="C11" s="6">
        <f>'รายละเอียดงบ'!D10</f>
        <v>6000</v>
      </c>
      <c r="D11" s="6"/>
      <c r="E11" s="6">
        <f>'รายละเอียดงบ'!E10</f>
        <v>12000</v>
      </c>
      <c r="F11" s="6"/>
    </row>
    <row r="12" spans="1:6" ht="33" customHeight="1">
      <c r="A12" s="5" t="s">
        <v>21</v>
      </c>
      <c r="B12" s="5"/>
      <c r="C12" s="6">
        <f>'รายละเอียดงบ'!D11</f>
        <v>12000</v>
      </c>
      <c r="D12" s="6"/>
      <c r="E12" s="6">
        <f>'รายละเอียดงบ'!E11</f>
        <v>20000</v>
      </c>
      <c r="F12" s="6"/>
    </row>
    <row r="13" spans="1:6" ht="35" customHeight="1">
      <c r="A13" s="7" t="s">
        <v>23</v>
      </c>
      <c r="B13" s="7"/>
      <c r="C13" s="8">
        <f>'รายละเอียดงบ'!D13</f>
        <v>66000</v>
      </c>
      <c r="D13" s="8"/>
      <c r="E13" s="8">
        <f>'รายละเอียดงบ'!E13</f>
        <v>107000</v>
      </c>
      <c r="F13" s="8"/>
    </row>
    <row r="14" spans="1:6" ht="35" customHeight="1">
      <c r="A14" s="7" t="str">
        <f>"เงินเผื่อ "&amp;TEXT('รายละเอียดงบ'!B5,"0%")</f>
        <v>เงินเผื่อ 20%</v>
      </c>
      <c r="B14" s="7"/>
      <c r="C14" s="8">
        <f>'รายละเอียดงบ'!D14</f>
        <v>13200.0</v>
      </c>
      <c r="D14" s="8"/>
      <c r="E14" s="8">
        <f>'รายละเอียดงบ'!E14</f>
        <v>21400.0</v>
      </c>
      <c r="F14" s="8"/>
    </row>
    <row r="15" spans="1:6" ht="35" customHeight="1">
      <c r="A15" s="9" t="s">
        <v>25</v>
      </c>
      <c r="B15" s="9"/>
      <c r="C15" s="10">
        <f>'รายละเอียดงบ'!D15</f>
        <v>79200.0</v>
      </c>
      <c r="D15" s="10"/>
      <c r="E15" s="10">
        <f>'รายละเอียดงบ'!E15</f>
        <v>128400.0</v>
      </c>
      <c r="F15" s="10"/>
    </row>
    <row r="17" spans="1:6" ht="38" customHeight="1">
      <c r="A17" s="11" t="s">
        <v>36</v>
      </c>
      <c r="B17" s="11"/>
      <c r="C17" s="12">
        <f>ROUND(C15,-4)</f>
        <v>80000</v>
      </c>
      <c r="D17" s="12"/>
      <c r="E17" s="12">
        <f>ROUND(E15,-4)</f>
        <v>130000</v>
      </c>
      <c r="F17" s="12"/>
    </row>
    <row r="18" spans="1:6" ht="26" customHeight="1">
      <c r="A18" s="2" t="s">
        <v>37</v>
      </c>
      <c r="B18" s="2"/>
      <c r="C18" s="2"/>
      <c r="D18" s="2"/>
      <c r="E18" s="8">
        <f>ROUND(AVERAGE(C15,E15),-4)</f>
        <v>100000</v>
      </c>
      <c r="F18" s="8"/>
    </row>
    <row r="20" spans="1:6" ht="26" customHeight="1">
      <c r="A20" s="13" t="s">
        <v>38</v>
      </c>
      <c r="B20" s="13"/>
      <c r="C20" s="13"/>
      <c r="D20" s="13"/>
      <c r="E20" s="13"/>
      <c r="F20" s="13"/>
    </row>
    <row r="21" spans="1:6" ht="26" customHeight="1">
      <c r="A21" s="13"/>
      <c r="B21" s="13"/>
      <c r="C21" s="13"/>
      <c r="D21" s="13"/>
      <c r="E21" s="13"/>
      <c r="F21" s="13"/>
    </row>
    <row r="23" spans="1:6" ht="26" customHeight="1">
      <c r="A23" s="13" t="s">
        <v>39</v>
      </c>
      <c r="B23" s="13"/>
      <c r="C23" s="13"/>
      <c r="D23" s="13"/>
      <c r="E23" s="13"/>
      <c r="F23" s="13"/>
    </row>
    <row r="24" spans="1:6" ht="26" customHeight="1">
      <c r="A24" s="13"/>
      <c r="B24" s="13"/>
      <c r="C24" s="13"/>
      <c r="D24" s="13"/>
      <c r="E24" s="13"/>
      <c r="F24" s="13"/>
    </row>
    <row r="26" spans="1:6" ht="26" customHeight="1">
      <c r="A26" s="2" t="s">
        <v>40</v>
      </c>
      <c r="B26" s="2"/>
      <c r="C26" s="2"/>
      <c r="D26" s="2"/>
      <c r="E26" s="14" t="s">
        <v>41</v>
      </c>
      <c r="F26" s="14"/>
    </row>
  </sheetData>
  <mergeCells count="37">
    <mergeCell ref="A1:F2"/>
    <mergeCell ref="A3:F3"/>
    <mergeCell ref="A5:F5"/>
    <mergeCell ref="A6:F6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7:B17"/>
    <mergeCell ref="C17:D17"/>
    <mergeCell ref="E17:F17"/>
    <mergeCell ref="A18:D18"/>
    <mergeCell ref="E18:F18"/>
    <mergeCell ref="A20:F21"/>
    <mergeCell ref="A23:F24"/>
    <mergeCell ref="A26:D26"/>
    <mergeCell ref="E26:F26"/>
  </mergeCells>
  <hyperlinks>
    <hyperlink ref="E26" location="'รายละเอียดงบ'!A1" display="ไปปรับรายละเอียด →"/>
  </hyperlinks>
  <printOptions horizontalCentered="1"/>
  <pageMargins left="0.3" right="0.3" top="0.4" bottom="0.4" header="0.15" footer="0.2"/>
  <pageSetup paperSize="9" orientation="landscape"/>
  <headerFooter>
    <oddHeader>&amp;LThink Of Sim | Go-kart Simulator&amp;Rประมาณการ / ยังไม่ใช่ราคาจัดซื้อ</oddHeader>
    <oddFooter>&amp;L24 ต.ค. 2026 | THB ต่อเครื่อง&amp;Rหน้า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82935"/>
    <pageSetUpPr fitToPage="1"/>
  </sheetPr>
  <dimension ref="A1:F24"/>
  <sheetViews>
    <sheetView showGridLines="0" zoomScale="90" zoomScaleNormal="9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26" customHeight="1"/>
  <cols>
    <col min="1" max="1" width="7.7109375" customWidth="1"/>
    <col min="2" max="2" width="29.7109375" customWidth="1"/>
    <col min="3" max="3" width="65.7109375" customWidth="1"/>
    <col min="4" max="5" width="18.7109375" customWidth="1"/>
    <col min="6" max="6" width="23.7109375" customWidth="1"/>
  </cols>
  <sheetData>
    <row r="1" spans="1:6" ht="26" customHeight="1">
      <c r="A1" s="1" t="s">
        <v>0</v>
      </c>
      <c r="B1" s="1"/>
      <c r="C1" s="1"/>
      <c r="D1" s="1"/>
      <c r="E1" s="1"/>
      <c r="F1" s="1"/>
    </row>
    <row r="2" spans="1:6" ht="26" customHeight="1">
      <c r="A2" s="1"/>
      <c r="B2" s="1"/>
      <c r="C2" s="1"/>
      <c r="D2" s="1"/>
      <c r="E2" s="1"/>
      <c r="F2" s="1"/>
    </row>
    <row r="3" spans="1:6" ht="26" customHeight="1">
      <c r="A3" s="2" t="s">
        <v>1</v>
      </c>
      <c r="B3" s="2"/>
      <c r="C3" s="2"/>
      <c r="D3" s="2"/>
      <c r="E3" s="2"/>
      <c r="F3" s="2"/>
    </row>
    <row r="5" spans="1:6" ht="26" customHeight="1">
      <c r="A5" s="7" t="s">
        <v>2</v>
      </c>
      <c r="B5" s="15">
        <v>0.2</v>
      </c>
      <c r="C5" s="2" t="s">
        <v>3</v>
      </c>
      <c r="D5" s="2"/>
      <c r="E5" s="2"/>
      <c r="F5" s="2"/>
    </row>
    <row r="7" spans="1:6" ht="30" customHeight="1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</row>
    <row r="8" spans="1:6" ht="58" customHeight="1">
      <c r="A8" s="5" t="s">
        <v>10</v>
      </c>
      <c r="B8" s="5" t="s">
        <v>11</v>
      </c>
      <c r="C8" s="5" t="s">
        <v>12</v>
      </c>
      <c r="D8" s="16">
        <v>30000</v>
      </c>
      <c r="E8" s="16">
        <v>45000</v>
      </c>
      <c r="F8" s="5" t="s">
        <v>13</v>
      </c>
    </row>
    <row r="9" spans="1:6" ht="58" customHeight="1">
      <c r="A9" s="5" t="s">
        <v>14</v>
      </c>
      <c r="B9" s="5" t="s">
        <v>15</v>
      </c>
      <c r="C9" s="5" t="s">
        <v>16</v>
      </c>
      <c r="D9" s="16">
        <v>18000</v>
      </c>
      <c r="E9" s="16">
        <v>30000</v>
      </c>
      <c r="F9" s="5" t="s">
        <v>13</v>
      </c>
    </row>
    <row r="10" spans="1:6" ht="58" customHeight="1">
      <c r="A10" s="5" t="s">
        <v>17</v>
      </c>
      <c r="B10" s="5" t="s">
        <v>18</v>
      </c>
      <c r="C10" s="5" t="s">
        <v>19</v>
      </c>
      <c r="D10" s="16">
        <v>6000</v>
      </c>
      <c r="E10" s="16">
        <v>12000</v>
      </c>
      <c r="F10" s="5" t="s">
        <v>13</v>
      </c>
    </row>
    <row r="11" spans="1:6" ht="58" customHeight="1">
      <c r="A11" s="5" t="s">
        <v>20</v>
      </c>
      <c r="B11" s="5" t="s">
        <v>21</v>
      </c>
      <c r="C11" s="5" t="s">
        <v>22</v>
      </c>
      <c r="D11" s="16">
        <v>12000</v>
      </c>
      <c r="E11" s="16">
        <v>20000</v>
      </c>
      <c r="F11" s="5" t="s">
        <v>13</v>
      </c>
    </row>
    <row r="13" spans="1:6" ht="34" customHeight="1">
      <c r="A13" s="7" t="s">
        <v>23</v>
      </c>
      <c r="B13" s="7"/>
      <c r="C13" s="7"/>
      <c r="D13" s="8">
        <f>SUM(D8:D11)</f>
        <v>66000</v>
      </c>
      <c r="E13" s="8">
        <f>SUM(E8:E11)</f>
        <v>107000</v>
      </c>
      <c r="F13" s="7"/>
    </row>
    <row r="14" spans="1:6" ht="34" customHeight="1">
      <c r="A14" s="7" t="s">
        <v>24</v>
      </c>
      <c r="B14" s="7"/>
      <c r="C14" s="7"/>
      <c r="D14" s="8">
        <f>D13*$B$5</f>
        <v>13200.0</v>
      </c>
      <c r="E14" s="8">
        <f>E13*$B$5</f>
        <v>21400.0</v>
      </c>
      <c r="F14" s="7"/>
    </row>
    <row r="15" spans="1:6" ht="34" customHeight="1">
      <c r="A15" s="9" t="s">
        <v>25</v>
      </c>
      <c r="B15" s="9"/>
      <c r="C15" s="9"/>
      <c r="D15" s="10">
        <f>D13+D14</f>
        <v>79200.0</v>
      </c>
      <c r="E15" s="10">
        <f>E13+E14</f>
        <v>128400.0</v>
      </c>
      <c r="F15" s="9"/>
    </row>
    <row r="17" spans="1:6" ht="26" customHeight="1">
      <c r="A17" s="13" t="s">
        <v>26</v>
      </c>
      <c r="B17" s="13"/>
      <c r="C17" s="13"/>
      <c r="D17" s="13"/>
      <c r="E17" s="13"/>
      <c r="F17" s="13"/>
    </row>
    <row r="18" spans="1:6" ht="26" customHeight="1">
      <c r="A18" s="13"/>
      <c r="B18" s="13"/>
      <c r="C18" s="13"/>
      <c r="D18" s="13"/>
      <c r="E18" s="13"/>
      <c r="F18" s="13"/>
    </row>
    <row r="20" spans="1:6" ht="26" customHeight="1">
      <c r="A20" s="13" t="s">
        <v>27</v>
      </c>
      <c r="B20" s="13"/>
      <c r="C20" s="13"/>
      <c r="D20" s="13"/>
      <c r="E20" s="13"/>
      <c r="F20" s="13"/>
    </row>
    <row r="21" spans="1:6" ht="26" customHeight="1">
      <c r="A21" s="13"/>
      <c r="B21" s="13"/>
      <c r="C21" s="13"/>
      <c r="D21" s="13"/>
      <c r="E21" s="13"/>
      <c r="F21" s="13"/>
    </row>
    <row r="23" spans="1:6" ht="26" customHeight="1">
      <c r="A23" s="2" t="s">
        <v>28</v>
      </c>
      <c r="B23" s="2"/>
      <c r="C23" s="2"/>
      <c r="D23" s="2"/>
      <c r="E23" s="2"/>
      <c r="F23" s="2"/>
    </row>
    <row r="24" spans="1:6" ht="26" customHeight="1">
      <c r="A24" s="2"/>
      <c r="B24" s="2"/>
      <c r="C24" s="2"/>
      <c r="D24" s="2"/>
      <c r="E24" s="2"/>
      <c r="F24" s="2"/>
    </row>
  </sheetData>
  <autoFilter ref="A7:F11"/>
  <mergeCells count="9">
    <mergeCell ref="A1:F2"/>
    <mergeCell ref="A3:F3"/>
    <mergeCell ref="C5:F5"/>
    <mergeCell ref="A13:C13"/>
    <mergeCell ref="A14:C14"/>
    <mergeCell ref="A15:C15"/>
    <mergeCell ref="A17:F18"/>
    <mergeCell ref="A20:F21"/>
    <mergeCell ref="A23:F24"/>
  </mergeCells>
  <conditionalFormatting sqref="D8:E11">
    <cfRule type="expression" dxfId="0" priority="1">
      <formula>OR($D8&lt;0,$E8&lt;$D8)</formula>
    </cfRule>
  </conditionalFormatting>
  <dataValidations count="3">
    <dataValidation type="decimal" allowBlank="1" showInputMessage="1" showErrorMessage="1" errorTitle="อัตราไม่ถูกต้อง" error="ป้อนระหว่าง 0%–100%" promptTitle="อัตราเงินเผื่อ" prompt="ป้อน 20% หรือ 0.20" sqref="B5">
      <formula1>0</formula1>
      <formula2>1</formula2>
    </dataValidation>
    <dataValidation type="decimal" operator="greaterThanOrEqual" allowBlank="1" showInputMessage="1" showErrorMessage="1" error="ราคาต้องไม่ติดลบ" sqref="D8:D11">
      <formula1>0</formula1>
    </dataValidation>
    <dataValidation type="custom" allowBlank="1" showInputMessage="1" showErrorMessage="1" error="ราคาสูงต้องเป็นตัวเลขและไม่น้อยกว่าราคาต่ำ" sqref="E8:E11">
      <formula1>AND(ISNUMBER(E8),E8&gt;=D8,E8&gt;=0)</formula1>
    </dataValidation>
  </dataValidations>
  <printOptions horizontalCentered="1"/>
  <pageMargins left="0.3" right="0.3" top="0.4" bottom="0.4" header="0.15" footer="0.2"/>
  <pageSetup paperSize="9" orientation="landscape"/>
  <headerFooter>
    <oddHeader>&amp;LThink Of Sim | Go-kart Simulator&amp;Rประมาณการ / ยังไม่ใช่ราคาจัดซื้อ</oddHeader>
    <oddFooter>&amp;L24 ต.ค. 2026 | THB ต่อเครื่อง&amp;Rหน้า &amp;P /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82935"/>
    <pageSetUpPr fitToPage="1"/>
  </sheetPr>
  <dimension ref="A1:C22"/>
  <sheetViews>
    <sheetView showGridLines="0"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6" customHeight="1"/>
  <cols>
    <col min="1" max="1" width="24.7109375" customWidth="1"/>
    <col min="2" max="2" width="71.7109375" customWidth="1"/>
    <col min="3" max="3" width="32.7109375" customWidth="1"/>
  </cols>
  <sheetData>
    <row r="1" spans="1:3" ht="26" customHeight="1">
      <c r="A1" s="1" t="s">
        <v>42</v>
      </c>
      <c r="B1" s="1"/>
      <c r="C1" s="1"/>
    </row>
    <row r="2" spans="1:3" ht="26" customHeight="1">
      <c r="A2" s="1"/>
      <c r="B2" s="1"/>
      <c r="C2" s="1"/>
    </row>
    <row r="3" spans="1:3" ht="26" customHeight="1">
      <c r="A3" s="2" t="s">
        <v>43</v>
      </c>
      <c r="B3" s="2"/>
      <c r="C3" s="2"/>
    </row>
    <row r="5" spans="1:3" ht="26" customHeight="1">
      <c r="A5" s="4" t="s">
        <v>44</v>
      </c>
      <c r="B5" s="4" t="s">
        <v>45</v>
      </c>
      <c r="C5" s="4" t="s">
        <v>9</v>
      </c>
    </row>
    <row r="6" spans="1:3" ht="44" customHeight="1">
      <c r="A6" s="5" t="s">
        <v>46</v>
      </c>
      <c r="B6" s="5" t="s">
        <v>47</v>
      </c>
      <c r="C6" s="5" t="s">
        <v>48</v>
      </c>
    </row>
    <row r="7" spans="1:3" ht="38" customHeight="1">
      <c r="A7" s="5" t="s">
        <v>49</v>
      </c>
      <c r="B7" s="5" t="s">
        <v>50</v>
      </c>
      <c r="C7" s="5" t="s">
        <v>51</v>
      </c>
    </row>
    <row r="8" spans="1:3" ht="38" customHeight="1">
      <c r="A8" s="5" t="s">
        <v>52</v>
      </c>
      <c r="B8" s="5" t="s">
        <v>53</v>
      </c>
      <c r="C8" s="5" t="s">
        <v>54</v>
      </c>
    </row>
    <row r="9" spans="1:3" ht="38" customHeight="1">
      <c r="A9" s="5" t="s">
        <v>55</v>
      </c>
      <c r="B9" s="5" t="s">
        <v>56</v>
      </c>
      <c r="C9" s="5" t="s">
        <v>57</v>
      </c>
    </row>
    <row r="10" spans="1:3" ht="38" customHeight="1">
      <c r="A10" s="5" t="s">
        <v>58</v>
      </c>
      <c r="B10" s="5" t="s">
        <v>59</v>
      </c>
      <c r="C10" s="5" t="s">
        <v>60</v>
      </c>
    </row>
    <row r="11" spans="1:3" ht="38" customHeight="1">
      <c r="A11" s="5" t="s">
        <v>61</v>
      </c>
      <c r="B11" s="5" t="s">
        <v>62</v>
      </c>
      <c r="C11" s="5" t="s">
        <v>63</v>
      </c>
    </row>
    <row r="12" spans="1:3" ht="38" customHeight="1">
      <c r="A12" s="5" t="s">
        <v>64</v>
      </c>
      <c r="B12" s="5" t="s">
        <v>65</v>
      </c>
      <c r="C12" s="5" t="s">
        <v>66</v>
      </c>
    </row>
    <row r="13" spans="1:3" ht="38" customHeight="1">
      <c r="A13" s="5" t="s">
        <v>67</v>
      </c>
      <c r="B13" s="5" t="s">
        <v>68</v>
      </c>
      <c r="C13" s="5" t="s">
        <v>69</v>
      </c>
    </row>
    <row r="14" spans="1:3" ht="44" customHeight="1">
      <c r="A14" s="5" t="s">
        <v>70</v>
      </c>
      <c r="B14" s="5" t="s">
        <v>71</v>
      </c>
      <c r="C14" s="5" t="s">
        <v>72</v>
      </c>
    </row>
    <row r="15" spans="1:3" ht="38" customHeight="1">
      <c r="A15" s="5" t="s">
        <v>73</v>
      </c>
      <c r="B15" s="5" t="s">
        <v>74</v>
      </c>
      <c r="C15" s="5" t="s">
        <v>75</v>
      </c>
    </row>
    <row r="16" spans="1:3" ht="38" customHeight="1">
      <c r="A16" s="5" t="s">
        <v>76</v>
      </c>
      <c r="B16" s="5" t="s">
        <v>77</v>
      </c>
      <c r="C16" s="5" t="s">
        <v>78</v>
      </c>
    </row>
    <row r="17" spans="1:3" ht="38" customHeight="1">
      <c r="A17" s="5" t="s">
        <v>79</v>
      </c>
      <c r="B17" s="5" t="s">
        <v>80</v>
      </c>
      <c r="C17" s="5" t="s">
        <v>81</v>
      </c>
    </row>
    <row r="18" spans="1:3" ht="44" customHeight="1">
      <c r="A18" s="5" t="s">
        <v>82</v>
      </c>
      <c r="B18" s="5" t="s">
        <v>83</v>
      </c>
      <c r="C18" s="5" t="s">
        <v>84</v>
      </c>
    </row>
    <row r="19" spans="1:3" ht="38" customHeight="1">
      <c r="A19" s="5" t="s">
        <v>85</v>
      </c>
      <c r="B19" s="5" t="s">
        <v>86</v>
      </c>
      <c r="C19" s="5" t="s">
        <v>87</v>
      </c>
    </row>
    <row r="20" spans="1:3" ht="44" customHeight="1">
      <c r="A20" s="5" t="s">
        <v>88</v>
      </c>
      <c r="B20" s="5" t="s">
        <v>89</v>
      </c>
      <c r="C20" s="5" t="s">
        <v>90</v>
      </c>
    </row>
    <row r="21" spans="1:3" ht="44" customHeight="1">
      <c r="A21" s="5" t="s">
        <v>91</v>
      </c>
      <c r="B21" s="5" t="s">
        <v>92</v>
      </c>
      <c r="C21" s="5" t="s">
        <v>93</v>
      </c>
    </row>
    <row r="22" spans="1:3" ht="38" customHeight="1">
      <c r="A22" s="5" t="s">
        <v>94</v>
      </c>
      <c r="B22" s="5" t="s">
        <v>95</v>
      </c>
      <c r="C22" s="5" t="s">
        <v>96</v>
      </c>
    </row>
  </sheetData>
  <autoFilter ref="A5:C22"/>
  <mergeCells count="2">
    <mergeCell ref="A1:C2"/>
    <mergeCell ref="A3:C3"/>
  </mergeCells>
  <printOptions horizontalCentered="1"/>
  <pageMargins left="0.3" right="0.3" top="0.4" bottom="0.4" header="0.15" footer="0.2"/>
  <pageSetup paperSize="9" orientation="landscape"/>
  <headerFooter>
    <oddHeader>&amp;LThink Of Sim | Go-kart Simulator&amp;Rประมาณการ / ยังไม่ใช่ราคาจัดซื้อ</oddHeader>
    <oddFooter>&amp;L24 ต.ค. 2026 | THB ต่อเครื่อง&amp;Rหน้า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สรุปเสนอผู้บริหาร</vt:lpstr>
      <vt:lpstr>รายละเอียดงบ</vt:lpstr>
      <vt:lpstr>สมมติฐานและไม่รวม</vt:lpstr>
      <vt:lpstr>'รายละเอียดงบ'!Print_Area</vt:lpstr>
      <vt:lpstr>'สมมติฐานและไม่รวม'!Print_Area</vt:lpstr>
      <vt:lpstr>'สรุปเสนอผู้บริหาร'!Print_Area</vt:lpstr>
      <vt:lpstr>'รายละเอียดงบ'!Print_Titles</vt:lpstr>
      <vt:lpstr>'สมมติฐานและไม่รวม'!Print_Titles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Go-kart Simulator — งบโครงสร้าง Cockpit</dc:title>
  <dc:subject>ประมาณการรวมเบาะ ล้อ และขาจอ ต่อหนึ่งเครื่อง</dc:subject>
  <dc:creator>Think Of Sim</dc:creator>
  <dc:description>จัดทำ 24 ตุลาคม 2026; ฐานประมาณการ 23 ตุลาคม 2026; ไม่ใช่ใบเสนอราคาหรืออนุมัติซื้อ</dc:description>
  <cp:lastModifiedBy>Think Of Sim</cp:lastModifiedBy>
  <dcterms:created xsi:type="dcterms:W3CDTF">2026-10-24T03:10:06Z</dcterms:created>
  <dcterms:modified xsi:type="dcterms:W3CDTF">2026-10-24T03:10:06Z</dcterms:modified>
</cp:coreProperties>
</file>